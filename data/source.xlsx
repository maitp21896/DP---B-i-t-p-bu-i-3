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74f060dab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2f71dc5870074e44"/>
    <x:sheet xmlns:r="http://schemas.openxmlformats.org/officeDocument/2006/relationships" name="Du lieu theo ngay" sheetId="2" r:id="Re25345d854a3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65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0fc84c0734006" /><Relationship Type="http://schemas.openxmlformats.org/officeDocument/2006/relationships/theme" Target="/xl/theme/theme1.xml" Id="R374d25a9682b465a" /><Relationship Type="http://schemas.openxmlformats.org/officeDocument/2006/relationships/sharedStrings" Target="/xl/sharedStrings.xml" Id="R0fa4368416764c67" /><Relationship Type="http://schemas.openxmlformats.org/officeDocument/2006/relationships/worksheet" Target="/xl/worksheets/sheet1.xml" Id="R2f71dc5870074e44" /><Relationship Type="http://schemas.openxmlformats.org/officeDocument/2006/relationships/worksheet" Target="/xl/worksheets/sheet2.xml" Id="Re25345d854a344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2" customHeight="1">
      <x:c r="A1" s="6" t="str">
        <x:v>GLOW NATURE | CAMPAIGN RESCUE CHALLENGE – 7 NGÀY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3" ht="32" customHeight="1">
      <x:c r="A3" s="6" t="str">
        <x:v>Nhóm quảng cáo</x:v>
      </x:c>
      <x:c r="B3" s="6" t="str">
        <x:v>Spend (VND)</x:v>
      </x:c>
      <x:c r="C3" s="6" t="str">
        <x:v>Reach</x:v>
      </x:c>
      <x:c r="D3" s="6" t="str">
        <x:v>Frequency</x:v>
      </x:c>
      <x:c r="E3" s="6" t="str">
        <x:v>Link Click</x:v>
      </x:c>
      <x:c r="F3" s="6" t="str">
        <x:v>LPV</x:v>
      </x:c>
      <x:c r="G3" s="6" t="str">
        <x:v>LPV Rate</x:v>
      </x:c>
      <x:c r="H3" s="6" t="str">
        <x:v>Add to Cart</x:v>
      </x:c>
      <x:c r="I3" s="6" t="str">
        <x:v>ATC / LPV</x:v>
      </x:c>
      <x:c r="J3" s="6" t="str">
        <x:v>Purchase</x:v>
      </x:c>
      <x:c r="K3" s="6" t="str">
        <x:v>CPA (VND)</x:v>
      </x:c>
      <x:c r="L3" s="6" t="str">
        <x:v>CPC (VND)</x:v>
      </x:c>
      <x:c r="M3" s="6" t="str">
        <x:v>Cost / LPV</x:v>
      </x:c>
    </x:row>
    <x:row r="4">
      <x:c r="A4" t="str">
        <x:v>Broad | Nữ 25–40, HN/HCM</x:v>
      </x:c>
      <x:c r="B4" s="10" t="n">
        <x:f>SUMIF('Du lieu theo ngay'!$B$2:$B$22,A4,'Du lieu theo ngay'!$C$2:$C$22)</x:f>
        <x:v>3000000</x:v>
      </x:c>
      <x:c r="C4" t="n">
        <x:v>70000</x:v>
      </x:c>
      <x:c r="D4" t="n">
        <x:v>1.8</x:v>
      </x:c>
      <x:c r="E4" t="n">
        <x:f>SUMIF('Du lieu theo ngay'!$B$2:$B$22,A4,'Du lieu theo ngay'!$D$2:$D$22)</x:f>
        <x:v>1700</x:v>
      </x:c>
      <x:c r="F4" t="n">
        <x:f>SUMIF('Du lieu theo ngay'!$B$2:$B$22,A4,'Du lieu theo ngay'!$E$2:$E$22)</x:f>
        <x:v>884</x:v>
      </x:c>
      <x:c r="G4" s="8" t="n">
        <x:f>IFERROR(F4/E4,0)</x:f>
        <x:v>0.52</x:v>
      </x:c>
      <x:c r="H4" t="n">
        <x:f>SUMIF('Du lieu theo ngay'!$B$2:$B$22,A4,'Du lieu theo ngay'!$F$2:$F$22)</x:f>
        <x:v>31</x:v>
      </x:c>
      <x:c r="I4" s="8" t="n">
        <x:f>IFERROR(H4/F4,0)</x:f>
        <x:v>0.03506787330316742</x:v>
      </x:c>
      <x:c r="J4" t="n">
        <x:f>SUMIF('Du lieu theo ngay'!$B$2:$B$22,A4,'Du lieu theo ngay'!$G$2:$G$22)</x:f>
        <x:v>9</x:v>
      </x:c>
      <x:c r="K4" s="10" t="n">
        <x:f>IFERROR(B4/J4,0)</x:f>
        <x:v>333333.3333333333</x:v>
      </x:c>
      <x:c r="L4" s="10" t="n">
        <x:f>IFERROR(B4/E4,0)</x:f>
        <x:v>1764.7058823529412</x:v>
      </x:c>
      <x:c r="M4" s="10" t="n">
        <x:f>IFERROR(B4/F4,0)</x:f>
        <x:v>3393.665158371041</x:v>
      </x:c>
    </x:row>
    <x:row r="5">
      <x:c r="A5" t="str">
        <x:v>LAL 1% | Khách mua 180 ngày</x:v>
      </x:c>
      <x:c r="B5" s="10" t="n">
        <x:f>SUMIF('Du lieu theo ngay'!$B$2:$B$22,A5,'Du lieu theo ngay'!$C$2:$C$22)</x:f>
        <x:v>3000000</x:v>
      </x:c>
      <x:c r="C5" t="n">
        <x:v>43000</x:v>
      </x:c>
      <x:c r="D5" t="n">
        <x:v>2.4</x:v>
      </x:c>
      <x:c r="E5" t="n">
        <x:f>SUMIF('Du lieu theo ngay'!$B$2:$B$22,A5,'Du lieu theo ngay'!$D$2:$D$22)</x:f>
        <x:v>1350</x:v>
      </x:c>
      <x:c r="F5" t="n">
        <x:f>SUMIF('Du lieu theo ngay'!$B$2:$B$22,A5,'Du lieu theo ngay'!$E$2:$E$22)</x:f>
        <x:v>945</x:v>
      </x:c>
      <x:c r="G5" s="8" t="n">
        <x:f>IFERROR(F5/E5,0)</x:f>
        <x:v>0.7</x:v>
      </x:c>
      <x:c r="H5" t="n">
        <x:f>SUMIF('Du lieu theo ngay'!$B$2:$B$22,A5,'Du lieu theo ngay'!$F$2:$F$22)</x:f>
        <x:v>52</x:v>
      </x:c>
      <x:c r="I5" s="8" t="n">
        <x:f>IFERROR(H5/F5,0)</x:f>
        <x:v>0.05502645502645503</x:v>
      </x:c>
      <x:c r="J5" t="n">
        <x:f>SUMIF('Du lieu theo ngay'!$B$2:$B$22,A5,'Du lieu theo ngay'!$G$2:$G$22)</x:f>
        <x:v>11</x:v>
      </x:c>
      <x:c r="K5" s="10" t="n">
        <x:f>IFERROR(B5/J5,0)</x:f>
        <x:v>272727.2727272727</x:v>
      </x:c>
      <x:c r="L5" s="10" t="n">
        <x:f>IFERROR(B5/E5,0)</x:f>
        <x:v>2222.222222222222</x:v>
      </x:c>
      <x:c r="M5" s="10" t="n">
        <x:f>IFERROR(B5/F5,0)</x:f>
        <x:v>3174.6031746031745</x:v>
      </x:c>
    </x:row>
    <x:row r="6">
      <x:c r="A6" t="str">
        <x:v>RT | Xem SP 30 ngày, chưa mua</x:v>
      </x:c>
      <x:c r="B6" s="10" t="n">
        <x:f>SUMIF('Du lieu theo ngay'!$B$2:$B$22,A6,'Du lieu theo ngay'!$C$2:$C$22)</x:f>
        <x:v>2000000</x:v>
      </x:c>
      <x:c r="C6" t="n">
        <x:v>12000</x:v>
      </x:c>
      <x:c r="D6" t="n">
        <x:v>6.8</x:v>
      </x:c>
      <x:c r="E6" t="n">
        <x:f>SUMIF('Du lieu theo ngay'!$B$2:$B$22,A6,'Du lieu theo ngay'!$D$2:$D$22)</x:f>
        <x:v>750</x:v>
      </x:c>
      <x:c r="F6" t="n">
        <x:f>SUMIF('Du lieu theo ngay'!$B$2:$B$22,A6,'Du lieu theo ngay'!$E$2:$E$22)</x:f>
        <x:v>615</x:v>
      </x:c>
      <x:c r="G6" s="8" t="n">
        <x:f>IFERROR(F6/E6,0)</x:f>
        <x:v>0.82</x:v>
      </x:c>
      <x:c r="H6" t="n">
        <x:f>SUMIF('Du lieu theo ngay'!$B$2:$B$22,A6,'Du lieu theo ngay'!$F$2:$F$22)</x:f>
        <x:v>49</x:v>
      </x:c>
      <x:c r="I6" s="8" t="n">
        <x:f>IFERROR(H6/F6,0)</x:f>
        <x:v>0.07967479674796749</x:v>
      </x:c>
      <x:c r="J6" t="n">
        <x:f>SUMIF('Du lieu theo ngay'!$B$2:$B$22,A6,'Du lieu theo ngay'!$G$2:$G$22)</x:f>
        <x:v>13</x:v>
      </x:c>
      <x:c r="K6" s="10" t="n">
        <x:f>IFERROR(B6/J6,0)</x:f>
        <x:v>153846.15384615384</x:v>
      </x:c>
      <x:c r="L6" s="10" t="n">
        <x:f>IFERROR(B6/E6,0)</x:f>
        <x:v>2666.6666666666665</x:v>
      </x:c>
      <x:c r="M6" s="10" t="n">
        <x:f>IFERROR(B6/F6,0)</x:f>
        <x:v>3252.032520325203</x:v>
      </x:c>
    </x:row>
    <x:row r="8" ht="26" customHeight="1">
      <x:c r="A8" t="str">
        <x:v>BRIEF | Phân bổ ngân sách 8.000.000 VND cho 7 ngày tiếp theo; đề xuất hành động &amp; KPI kiểm chứng.</x:v>
      </x:c>
    </x:row>
    <x:row r="9" ht="26" customHeight="1">
      <x:c r="A9" t="str">
        <x:v>Dữ liệu giả lập. Spend, Link Click, LPV, ATC, Purchase lấy từ tab theo ngày; các chỉ số tổng quan được tính bằng công thức. Reach/Frequency là dữ liệu báo cáo đầu vào.</x:v>
      </x:c>
    </x:row>
    <x:row r="10" ht="26" customHeight="1">
      <x:c r="A10" t="str">
        <x:v>Targeting: Broad = nữ 25–40 HN/HCM không giới hạn sở thích | LAL 1% = tương tự khách mua 180 ngày | RT = xem trang sản phẩm 30 ngày, chưa mua.</x:v>
      </x:c>
    </x:row>
    <x:row r="11" ht="26" customHeight="1">
      <x:c r="A11" t="str">
        <x:v>Lưu ý: Traffic là mục tiêu chiến dịch; Purchase và CPA chỉ là chỉ số bổ trợ, không đồng nghĩa thuật toán đang tối ưu mua hàng.</x:v>
      </x:c>
    </x:row>
  </x:sheetData>
  <x:mergeCells>
    <x:mergeCell ref="A1:O1"/>
    <x:mergeCell ref="A8:M8"/>
    <x:mergeCell ref="A9:M9"/>
    <x:mergeCell ref="A10:M10"/>
    <x:mergeCell ref="A11:M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Ngày</x:v>
      </x:c>
      <x:c r="B1" s="6" t="str">
        <x:v>Nhóm quảng cáo</x:v>
      </x:c>
      <x:c r="C1" s="6" t="str">
        <x:v>Spend (VND)</x:v>
      </x:c>
      <x:c r="D1" s="6" t="str">
        <x:v>Link Click</x:v>
      </x:c>
      <x:c r="E1" s="6" t="str">
        <x:v>LPV</x:v>
      </x:c>
      <x:c r="F1" s="6" t="str">
        <x:v>Add to Cart</x:v>
      </x:c>
      <x:c r="G1" s="6" t="str">
        <x:v>Purchase</x:v>
      </x:c>
      <x:c r="H1" s="6" t="str">
        <x:v>CPA (VND)</x:v>
      </x:c>
    </x:row>
    <x:row r="2">
      <x:c r="A2" t="str">
        <x:v>D1</x:v>
      </x:c>
      <x:c r="B2" t="str">
        <x:v>Broad | Nữ 25–40, HN/HCM</x:v>
      </x:c>
      <x:c r="C2" s="10" t="n">
        <x:v>400000</x:v>
      </x:c>
      <x:c r="D2" s="10" t="n">
        <x:v>227</x:v>
      </x:c>
      <x:c r="E2" s="10" t="n">
        <x:v>119</x:v>
      </x:c>
      <x:c r="F2" s="10" t="n">
        <x:v>2</x:v>
      </x:c>
      <x:c r="G2" s="10" t="n">
        <x:v>1</x:v>
      </x:c>
      <x:c r="H2" s="10" t="n">
        <x:f>IFERROR(C2/G2,0)</x:f>
        <x:v>400000</x:v>
      </x:c>
    </x:row>
    <x:row r="3">
      <x:c r="A3" t="str">
        <x:v>D2</x:v>
      </x:c>
      <x:c r="B3" t="str">
        <x:v>Broad | Nữ 25–40, HN/HCM</x:v>
      </x:c>
      <x:c r="C3" s="10" t="n">
        <x:v>420000</x:v>
      </x:c>
      <x:c r="D3" s="10" t="n">
        <x:v>239</x:v>
      </x:c>
      <x:c r="E3" s="10" t="n">
        <x:v>125</x:v>
      </x:c>
      <x:c r="F3" s="10" t="n">
        <x:v>6</x:v>
      </x:c>
      <x:c r="G3" s="10" t="n">
        <x:v>1</x:v>
      </x:c>
      <x:c r="H3" s="10" t="n">
        <x:f>IFERROR(C3/G3,0)</x:f>
        <x:v>420000</x:v>
      </x:c>
    </x:row>
    <x:row r="4">
      <x:c r="A4" t="str">
        <x:v>D3</x:v>
      </x:c>
      <x:c r="B4" t="str">
        <x:v>Broad | Nữ 25–40, HN/HCM</x:v>
      </x:c>
      <x:c r="C4" s="10" t="n">
        <x:v>440000</x:v>
      </x:c>
      <x:c r="D4" s="10" t="n">
        <x:v>249</x:v>
      </x:c>
      <x:c r="E4" s="10" t="n">
        <x:v>130</x:v>
      </x:c>
      <x:c r="F4" s="10" t="n">
        <x:v>3</x:v>
      </x:c>
      <x:c r="G4" s="10" t="n">
        <x:v>1</x:v>
      </x:c>
      <x:c r="H4" s="10" t="n">
        <x:f>IFERROR(C4/G4,0)</x:f>
        <x:v>440000</x:v>
      </x:c>
    </x:row>
    <x:row r="5">
      <x:c r="A5" t="str">
        <x:v>D4</x:v>
      </x:c>
      <x:c r="B5" t="str">
        <x:v>Broad | Nữ 25–40, HN/HCM</x:v>
      </x:c>
      <x:c r="C5" s="10" t="n">
        <x:v>410000</x:v>
      </x:c>
      <x:c r="D5" s="10" t="n">
        <x:v>232</x:v>
      </x:c>
      <x:c r="E5" s="10" t="n">
        <x:v>120</x:v>
      </x:c>
      <x:c r="F5" s="10" t="n">
        <x:v>7</x:v>
      </x:c>
      <x:c r="G5" s="10" t="n">
        <x:v>1</x:v>
      </x:c>
      <x:c r="H5" s="10" t="n">
        <x:f>IFERROR(C5/G5,0)</x:f>
        <x:v>410000</x:v>
      </x:c>
    </x:row>
    <x:row r="6">
      <x:c r="A6" t="str">
        <x:v>D5</x:v>
      </x:c>
      <x:c r="B6" t="str">
        <x:v>Broad | Nữ 25–40, HN/HCM</x:v>
      </x:c>
      <x:c r="C6" s="10" t="n">
        <x:v>430000</x:v>
      </x:c>
      <x:c r="D6" s="10" t="n">
        <x:v>243</x:v>
      </x:c>
      <x:c r="E6" s="10" t="n">
        <x:v>126</x:v>
      </x:c>
      <x:c r="F6" s="10" t="n">
        <x:v>4</x:v>
      </x:c>
      <x:c r="G6" s="10" t="n">
        <x:v>2</x:v>
      </x:c>
      <x:c r="H6" s="10" t="n">
        <x:f>IFERROR(C6/G6,0)</x:f>
        <x:v>215000</x:v>
      </x:c>
    </x:row>
    <x:row r="7">
      <x:c r="A7" t="str">
        <x:v>D6</x:v>
      </x:c>
      <x:c r="B7" t="str">
        <x:v>Broad | Nữ 25–40, HN/HCM</x:v>
      </x:c>
      <x:c r="C7" s="10" t="n">
        <x:v>450000</x:v>
      </x:c>
      <x:c r="D7" s="10" t="n">
        <x:v>255</x:v>
      </x:c>
      <x:c r="E7" s="10" t="n">
        <x:v>132</x:v>
      </x:c>
      <x:c r="F7" s="10" t="n">
        <x:v>5</x:v>
      </x:c>
      <x:c r="G7" s="10" t="n">
        <x:v>1</x:v>
      </x:c>
      <x:c r="H7" s="10" t="n">
        <x:f>IFERROR(C7/G7,0)</x:f>
        <x:v>450000</x:v>
      </x:c>
    </x:row>
    <x:row r="8">
      <x:c r="A8" t="str">
        <x:v>D7</x:v>
      </x:c>
      <x:c r="B8" t="str">
        <x:v>Broad | Nữ 25–40, HN/HCM</x:v>
      </x:c>
      <x:c r="C8" s="10" t="n">
        <x:v>450000</x:v>
      </x:c>
      <x:c r="D8" s="10" t="n">
        <x:v>255</x:v>
      </x:c>
      <x:c r="E8" s="10" t="n">
        <x:v>132</x:v>
      </x:c>
      <x:c r="F8" s="10" t="n">
        <x:v>4</x:v>
      </x:c>
      <x:c r="G8" s="10" t="n">
        <x:v>2</x:v>
      </x:c>
      <x:c r="H8" s="10" t="n">
        <x:f>IFERROR(C8/G8,0)</x:f>
        <x:v>225000</x:v>
      </x:c>
    </x:row>
    <x:row r="9">
      <x:c r="A9" t="str">
        <x:v>D1</x:v>
      </x:c>
      <x:c r="B9" t="str">
        <x:v>LAL 1% | Khách mua 180 ngày</x:v>
      </x:c>
      <x:c r="C9" s="10" t="n">
        <x:v>400000</x:v>
      </x:c>
      <x:c r="D9" s="10" t="n">
        <x:v>181</x:v>
      </x:c>
      <x:c r="E9" s="10" t="n">
        <x:v>127</x:v>
      </x:c>
      <x:c r="F9" s="10" t="n">
        <x:v>5</x:v>
      </x:c>
      <x:c r="G9" s="10" t="n">
        <x:v>1</x:v>
      </x:c>
      <x:c r="H9" s="10" t="n">
        <x:f>IFERROR(C9/G9,0)</x:f>
        <x:v>400000</x:v>
      </x:c>
    </x:row>
    <x:row r="10">
      <x:c r="A10" t="str">
        <x:v>D2</x:v>
      </x:c>
      <x:c r="B10" t="str">
        <x:v>LAL 1% | Khách mua 180 ngày</x:v>
      </x:c>
      <x:c r="C10" s="10" t="n">
        <x:v>410000</x:v>
      </x:c>
      <x:c r="D10" s="10" t="n">
        <x:v>185</x:v>
      </x:c>
      <x:c r="E10" s="10" t="n">
        <x:v>130</x:v>
      </x:c>
      <x:c r="F10" s="10" t="n">
        <x:v>9</x:v>
      </x:c>
      <x:c r="G10" s="10" t="n">
        <x:v>1</x:v>
      </x:c>
      <x:c r="H10" s="10" t="n">
        <x:f>IFERROR(C10/G10,0)</x:f>
        <x:v>410000</x:v>
      </x:c>
    </x:row>
    <x:row r="11">
      <x:c r="A11" t="str">
        <x:v>D3</x:v>
      </x:c>
      <x:c r="B11" t="str">
        <x:v>LAL 1% | Khách mua 180 ngày</x:v>
      </x:c>
      <x:c r="C11" s="10" t="n">
        <x:v>420000</x:v>
      </x:c>
      <x:c r="D11" s="10" t="n">
        <x:v>189</x:v>
      </x:c>
      <x:c r="E11" s="10" t="n">
        <x:v>133</x:v>
      </x:c>
      <x:c r="F11" s="10" t="n">
        <x:v>6</x:v>
      </x:c>
      <x:c r="G11" s="10" t="n">
        <x:v>1</x:v>
      </x:c>
      <x:c r="H11" s="10" t="n">
        <x:f>IFERROR(C11/G11,0)</x:f>
        <x:v>420000</x:v>
      </x:c>
    </x:row>
    <x:row r="12">
      <x:c r="A12" t="str">
        <x:v>D4</x:v>
      </x:c>
      <x:c r="B12" t="str">
        <x:v>LAL 1% | Khách mua 180 ngày</x:v>
      </x:c>
      <x:c r="C12" s="10" t="n">
        <x:v>430000</x:v>
      </x:c>
      <x:c r="D12" s="10" t="n">
        <x:v>193</x:v>
      </x:c>
      <x:c r="E12" s="10" t="n">
        <x:v>135</x:v>
      </x:c>
      <x:c r="F12" s="10" t="n">
        <x:v>11</x:v>
      </x:c>
      <x:c r="G12" s="10" t="n">
        <x:v>2</x:v>
      </x:c>
      <x:c r="H12" s="10" t="n">
        <x:f>IFERROR(C12/G12,0)</x:f>
        <x:v>215000</x:v>
      </x:c>
    </x:row>
    <x:row r="13">
      <x:c r="A13" t="str">
        <x:v>D5</x:v>
      </x:c>
      <x:c r="B13" t="str">
        <x:v>LAL 1% | Khách mua 180 ngày</x:v>
      </x:c>
      <x:c r="C13" s="10" t="n">
        <x:v>440000</x:v>
      </x:c>
      <x:c r="D13" s="10" t="n">
        <x:v>198</x:v>
      </x:c>
      <x:c r="E13" s="10" t="n">
        <x:v>138</x:v>
      </x:c>
      <x:c r="F13" s="10" t="n">
        <x:v>7</x:v>
      </x:c>
      <x:c r="G13" s="10" t="n">
        <x:v>2</x:v>
      </x:c>
      <x:c r="H13" s="10" t="n">
        <x:f>IFERROR(C13/G13,0)</x:f>
        <x:v>220000</x:v>
      </x:c>
    </x:row>
    <x:row r="14">
      <x:c r="A14" t="str">
        <x:v>D6</x:v>
      </x:c>
      <x:c r="B14" t="str">
        <x:v>LAL 1% | Khách mua 180 ngày</x:v>
      </x:c>
      <x:c r="C14" s="10" t="n">
        <x:v>450000</x:v>
      </x:c>
      <x:c r="D14" s="10" t="n">
        <x:v>202</x:v>
      </x:c>
      <x:c r="E14" s="10" t="n">
        <x:v>141</x:v>
      </x:c>
      <x:c r="F14" s="10" t="n">
        <x:v>8</x:v>
      </x:c>
      <x:c r="G14" s="10" t="n">
        <x:v>2</x:v>
      </x:c>
      <x:c r="H14" s="10" t="n">
        <x:f>IFERROR(C14/G14,0)</x:f>
        <x:v>225000</x:v>
      </x:c>
    </x:row>
    <x:row r="15">
      <x:c r="A15" t="str">
        <x:v>D7</x:v>
      </x:c>
      <x:c r="B15" t="str">
        <x:v>LAL 1% | Khách mua 180 ngày</x:v>
      </x:c>
      <x:c r="C15" s="10" t="n">
        <x:v>450000</x:v>
      </x:c>
      <x:c r="D15" s="10" t="n">
        <x:v>202</x:v>
      </x:c>
      <x:c r="E15" s="10" t="n">
        <x:v>141</x:v>
      </x:c>
      <x:c r="F15" s="10" t="n">
        <x:v>6</x:v>
      </x:c>
      <x:c r="G15" s="10" t="n">
        <x:v>2</x:v>
      </x:c>
      <x:c r="H15" s="10" t="n">
        <x:f>IFERROR(C15/G15,0)</x:f>
        <x:v>225000</x:v>
      </x:c>
    </x:row>
    <x:row r="16">
      <x:c r="A16" t="str">
        <x:v>D1</x:v>
      </x:c>
      <x:c r="B16" t="str">
        <x:v>RT | Xem SP 30 ngày, chưa mua</x:v>
      </x:c>
      <x:c r="C16" s="10" t="n">
        <x:v>260000</x:v>
      </x:c>
      <x:c r="D16" s="10" t="n">
        <x:v>98</x:v>
      </x:c>
      <x:c r="E16" s="10" t="n">
        <x:v>81</x:v>
      </x:c>
      <x:c r="F16" s="10" t="n">
        <x:v>10</x:v>
      </x:c>
      <x:c r="G16" s="10" t="n">
        <x:v>3</x:v>
      </x:c>
      <x:c r="H16" s="10" t="n">
        <x:f>IFERROR(C16/G16,0)</x:f>
        <x:v>86666.66666666667</x:v>
      </x:c>
    </x:row>
    <x:row r="17">
      <x:c r="A17" t="str">
        <x:v>D2</x:v>
      </x:c>
      <x:c r="B17" t="str">
        <x:v>RT | Xem SP 30 ngày, chưa mua</x:v>
      </x:c>
      <x:c r="C17" s="10" t="n">
        <x:v>270000</x:v>
      </x:c>
      <x:c r="D17" s="10" t="n">
        <x:v>102</x:v>
      </x:c>
      <x:c r="E17" s="10" t="n">
        <x:v>84</x:v>
      </x:c>
      <x:c r="F17" s="10" t="n">
        <x:v>5</x:v>
      </x:c>
      <x:c r="G17" s="10" t="n">
        <x:v>3</x:v>
      </x:c>
      <x:c r="H17" s="10" t="n">
        <x:f>IFERROR(C17/G17,0)</x:f>
        <x:v>90000</x:v>
      </x:c>
    </x:row>
    <x:row r="18">
      <x:c r="A18" t="str">
        <x:v>D3</x:v>
      </x:c>
      <x:c r="B18" t="str">
        <x:v>RT | Xem SP 30 ngày, chưa mua</x:v>
      </x:c>
      <x:c r="C18" s="10" t="n">
        <x:v>280000</x:v>
      </x:c>
      <x:c r="D18" s="10" t="n">
        <x:v>106</x:v>
      </x:c>
      <x:c r="E18" s="10" t="n">
        <x:v>87</x:v>
      </x:c>
      <x:c r="F18" s="10" t="n">
        <x:v>9</x:v>
      </x:c>
      <x:c r="G18" s="10" t="n">
        <x:v>2</x:v>
      </x:c>
      <x:c r="H18" s="10" t="n">
        <x:f>IFERROR(C18/G18,0)</x:f>
        <x:v>140000</x:v>
      </x:c>
    </x:row>
    <x:row r="19">
      <x:c r="A19" t="str">
        <x:v>D4</x:v>
      </x:c>
      <x:c r="B19" t="str">
        <x:v>RT | Xem SP 30 ngày, chưa mua</x:v>
      </x:c>
      <x:c r="C19" s="10" t="n">
        <x:v>290000</x:v>
      </x:c>
      <x:c r="D19" s="10" t="n">
        <x:v>108</x:v>
      </x:c>
      <x:c r="E19" s="10" t="n">
        <x:v>89</x:v>
      </x:c>
      <x:c r="F19" s="10" t="n">
        <x:v>6</x:v>
      </x:c>
      <x:c r="G19" s="10" t="n">
        <x:v>2</x:v>
      </x:c>
      <x:c r="H19" s="10" t="n">
        <x:f>IFERROR(C19/G19,0)</x:f>
        <x:v>145000</x:v>
      </x:c>
    </x:row>
    <x:row r="20">
      <x:c r="A20" t="str">
        <x:v>D5</x:v>
      </x:c>
      <x:c r="B20" t="str">
        <x:v>RT | Xem SP 30 ngày, chưa mua</x:v>
      </x:c>
      <x:c r="C20" s="10" t="n">
        <x:v>300000</x:v>
      </x:c>
      <x:c r="D20" s="10" t="n">
        <x:v>112</x:v>
      </x:c>
      <x:c r="E20" s="10" t="n">
        <x:v>92</x:v>
      </x:c>
      <x:c r="F20" s="10" t="n">
        <x:v>8</x:v>
      </x:c>
      <x:c r="G20" s="10" t="n">
        <x:v>1</x:v>
      </x:c>
      <x:c r="H20" s="10" t="n">
        <x:f>IFERROR(C20/G20,0)</x:f>
        <x:v>300000</x:v>
      </x:c>
    </x:row>
    <x:row r="21">
      <x:c r="A21" t="str">
        <x:v>D6</x:v>
      </x:c>
      <x:c r="B21" t="str">
        <x:v>RT | Xem SP 30 ngày, chưa mua</x:v>
      </x:c>
      <x:c r="C21" s="10" t="n">
        <x:v>300000</x:v>
      </x:c>
      <x:c r="D21" s="10" t="n">
        <x:v>112</x:v>
      </x:c>
      <x:c r="E21" s="10" t="n">
        <x:v>91</x:v>
      </x:c>
      <x:c r="F21" s="10" t="n">
        <x:v>4</x:v>
      </x:c>
      <x:c r="G21" s="10" t="n">
        <x:v>1</x:v>
      </x:c>
      <x:c r="H21" s="10" t="n">
        <x:f>IFERROR(C21/G21,0)</x:f>
        <x:v>300000</x:v>
      </x:c>
    </x:row>
    <x:row r="22">
      <x:c r="A22" t="str">
        <x:v>D7</x:v>
      </x:c>
      <x:c r="B22" t="str">
        <x:v>RT | Xem SP 30 ngày, chưa mua</x:v>
      </x:c>
      <x:c r="C22" s="10" t="n">
        <x:v>300000</x:v>
      </x:c>
      <x:c r="D22" s="10" t="n">
        <x:v>112</x:v>
      </x:c>
      <x:c r="E22" s="10" t="n">
        <x:v>91</x:v>
      </x:c>
      <x:c r="F22" s="10" t="n">
        <x:v>7</x:v>
      </x:c>
      <x:c r="G22" s="10" t="n">
        <x:v>1</x:v>
      </x:c>
      <x:c r="H22" s="10" t="n">
        <x:f>IFERROR(C22/G22,0)</x:f>
        <x:v>300000</x:v>
      </x:c>
    </x:row>
  </x:sheetData>
  <x:pageMargins left="0.7" right="0.7" top="0.75" bottom="0.75" header="0.3" footer="0.3"/>
</x:worksheet>
</file>